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.sharepoint.com/sites/SCLSPH_SPHCAR/Shared Documents/General/Productos de conocimiento/Paper CCS/paper_ccs/data/"/>
    </mc:Choice>
  </mc:AlternateContent>
  <xr:revisionPtr revIDLastSave="101" documentId="8_{AC55EF96-4D3C-4577-83F8-D9FBC242A9D9}" xr6:coauthVersionLast="47" xr6:coauthVersionMax="47" xr10:uidLastSave="{9D89F16E-B381-4625-B91A-2C8E8548B72D}"/>
  <bookViews>
    <workbookView xWindow="19590" yWindow="4950" windowWidth="21795" windowHeight="10830" activeTab="2" xr2:uid="{F2246D66-CB0F-468E-A86D-1FD5F66FDD7C}"/>
  </bookViews>
  <sheets>
    <sheet name="Sobre el total" sheetId="1" r:id="rId1"/>
    <sheet name="Condicional al riesgo" sheetId="2" r:id="rId2"/>
    <sheet name="Condicional al esta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3" l="1"/>
  <c r="E11" i="3"/>
  <c r="F11" i="3"/>
  <c r="G11" i="3"/>
  <c r="H11" i="3"/>
  <c r="C11" i="3"/>
  <c r="D9" i="1"/>
  <c r="E9" i="1"/>
  <c r="F9" i="1"/>
  <c r="G9" i="1"/>
  <c r="H9" i="1"/>
  <c r="C9" i="1"/>
</calcChain>
</file>

<file path=xl/sharedStrings.xml><?xml version="1.0" encoding="utf-8"?>
<sst xmlns="http://schemas.openxmlformats.org/spreadsheetml/2006/main" count="52" uniqueCount="16">
  <si>
    <t>Riesgo</t>
  </si>
  <si>
    <t>Muy baja</t>
  </si>
  <si>
    <t>Baja</t>
  </si>
  <si>
    <t>Media</t>
  </si>
  <si>
    <t>Alta</t>
  </si>
  <si>
    <t>Muy alta</t>
  </si>
  <si>
    <t>Neuquén</t>
  </si>
  <si>
    <t>Mérida</t>
  </si>
  <si>
    <t>Montería</t>
  </si>
  <si>
    <t>Total</t>
  </si>
  <si>
    <r>
      <t xml:space="preserve">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 xml:space="preserve">15 min </t>
    </r>
  </si>
  <si>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15 min</t>
    </r>
  </si>
  <si>
    <t xml:space="preserve">Porcentaje de población en cada estrato de riesgo de calor, según cercanía al centro de salud más cercano </t>
  </si>
  <si>
    <t xml:space="preserve">Población por distancia al centro de salud más cercano, según nivel de riesgo por calor </t>
  </si>
  <si>
    <t>En porcentaje de la población correspondiente a cada nivel de riesgo</t>
  </si>
  <si>
    <t xml:space="preserve">En porcentaje de población según cercanía al centro de salud más cercano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</si>
</sst>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dashed">
        <color theme="0" tint="-0.24994659260841701"/>
      </right>
      <top style="thin">
        <color indexed="64"/>
      </top>
      <bottom style="thin">
        <color theme="1"/>
      </bottom>
      <diagonal/>
    </border>
    <border>
      <left/>
      <right style="dashed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dashed">
        <color theme="0" tint="-0.24994659260841701"/>
      </right>
      <top/>
      <bottom/>
      <diagonal/>
    </border>
    <border>
      <left/>
      <right style="dashed">
        <color theme="0" tint="-0.24994659260841701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/>
    <xf numFmtId="164" fontId="0" fillId="2" borderId="0" xfId="0" applyNumberFormat="1" applyFill="1" applyBorder="1" applyAlignment="1">
      <alignment horizontal="center" vertic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406D-A80D-4A40-B6C7-D8549EBFF047}">
  <dimension ref="B2:H9"/>
  <sheetViews>
    <sheetView showGridLines="0" workbookViewId="0">
      <selection activeCell="C4" sqref="C4:C8"/>
    </sheetView>
  </sheetViews>
  <sheetFormatPr defaultRowHeight="15" x14ac:dyDescent="0.25"/>
  <cols>
    <col min="3" max="8" width="9" customWidth="1"/>
  </cols>
  <sheetData>
    <row r="2" spans="2:8" x14ac:dyDescent="0.25">
      <c r="B2" s="1"/>
      <c r="C2" s="2" t="s">
        <v>6</v>
      </c>
      <c r="D2" s="9"/>
      <c r="E2" s="2" t="s">
        <v>7</v>
      </c>
      <c r="F2" s="9"/>
      <c r="G2" s="2" t="s">
        <v>8</v>
      </c>
      <c r="H2" s="2"/>
    </row>
    <row r="3" spans="2:8" x14ac:dyDescent="0.25">
      <c r="B3" s="1" t="s">
        <v>0</v>
      </c>
      <c r="C3" s="3" t="s">
        <v>10</v>
      </c>
      <c r="D3" s="10" t="s">
        <v>11</v>
      </c>
      <c r="E3" s="3" t="s">
        <v>10</v>
      </c>
      <c r="F3" s="10" t="s">
        <v>11</v>
      </c>
      <c r="G3" s="3" t="s">
        <v>10</v>
      </c>
      <c r="H3" s="3" t="s">
        <v>11</v>
      </c>
    </row>
    <row r="4" spans="2:8" x14ac:dyDescent="0.25">
      <c r="B4" s="4" t="s">
        <v>1</v>
      </c>
      <c r="C4" s="5">
        <v>7</v>
      </c>
      <c r="D4" s="11">
        <v>11.8</v>
      </c>
      <c r="E4" s="5">
        <v>1.9</v>
      </c>
      <c r="F4" s="11">
        <v>12.9</v>
      </c>
      <c r="G4" s="5">
        <v>5.7</v>
      </c>
      <c r="H4" s="5">
        <v>9.6</v>
      </c>
    </row>
    <row r="5" spans="2:8" x14ac:dyDescent="0.25">
      <c r="B5" s="4" t="s">
        <v>2</v>
      </c>
      <c r="C5" s="5">
        <v>7</v>
      </c>
      <c r="D5" s="11">
        <v>13.9</v>
      </c>
      <c r="E5" s="5">
        <v>4.0999999999999996</v>
      </c>
      <c r="F5" s="11">
        <v>15.1</v>
      </c>
      <c r="G5" s="5">
        <v>8.5</v>
      </c>
      <c r="H5" s="5">
        <v>10.5</v>
      </c>
    </row>
    <row r="6" spans="2:8" x14ac:dyDescent="0.25">
      <c r="B6" s="4" t="s">
        <v>3</v>
      </c>
      <c r="C6" s="5">
        <v>8.1999999999999993</v>
      </c>
      <c r="D6" s="11">
        <v>12.3</v>
      </c>
      <c r="E6" s="5">
        <v>3.7</v>
      </c>
      <c r="F6" s="11">
        <v>17.600000000000001</v>
      </c>
      <c r="G6" s="5">
        <v>12.8</v>
      </c>
      <c r="H6" s="5">
        <v>9</v>
      </c>
    </row>
    <row r="7" spans="2:8" x14ac:dyDescent="0.25">
      <c r="B7" s="4" t="s">
        <v>4</v>
      </c>
      <c r="C7" s="5">
        <v>9.6</v>
      </c>
      <c r="D7" s="11">
        <v>9.4</v>
      </c>
      <c r="E7" s="5">
        <v>4.0999999999999996</v>
      </c>
      <c r="F7" s="11">
        <v>17.899999999999999</v>
      </c>
      <c r="G7" s="5">
        <v>15.7</v>
      </c>
      <c r="H7" s="5">
        <v>5.7</v>
      </c>
    </row>
    <row r="8" spans="2:8" x14ac:dyDescent="0.25">
      <c r="B8" s="6" t="s">
        <v>5</v>
      </c>
      <c r="C8" s="7">
        <v>11.3</v>
      </c>
      <c r="D8" s="12">
        <v>9.5</v>
      </c>
      <c r="E8" s="7">
        <v>3.8</v>
      </c>
      <c r="F8" s="12">
        <v>18.399999999999999</v>
      </c>
      <c r="G8" s="7">
        <v>18.100000000000001</v>
      </c>
      <c r="H8" s="7">
        <v>4.5</v>
      </c>
    </row>
    <row r="9" spans="2:8" x14ac:dyDescent="0.25">
      <c r="B9" s="1" t="s">
        <v>9</v>
      </c>
      <c r="C9" s="8">
        <f>SUM(C4:C8)</f>
        <v>43.099999999999994</v>
      </c>
      <c r="D9" s="13">
        <f t="shared" ref="D9:H9" si="0">SUM(D4:D8)</f>
        <v>56.9</v>
      </c>
      <c r="E9" s="8">
        <f t="shared" si="0"/>
        <v>17.599999999999998</v>
      </c>
      <c r="F9" s="13">
        <f t="shared" si="0"/>
        <v>81.900000000000006</v>
      </c>
      <c r="G9" s="3">
        <f t="shared" si="0"/>
        <v>60.800000000000004</v>
      </c>
      <c r="H9" s="3">
        <f t="shared" si="0"/>
        <v>39.300000000000004</v>
      </c>
    </row>
  </sheetData>
  <mergeCells count="3"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393E-C5C2-4CA3-84CB-7A1DC7FA9F40}">
  <dimension ref="B2:H11"/>
  <sheetViews>
    <sheetView showGridLines="0" workbookViewId="0">
      <selection activeCell="N9" sqref="N9"/>
    </sheetView>
  </sheetViews>
  <sheetFormatPr defaultRowHeight="15" x14ac:dyDescent="0.25"/>
  <sheetData>
    <row r="2" spans="2:8" x14ac:dyDescent="0.25">
      <c r="B2" s="14" t="s">
        <v>13</v>
      </c>
    </row>
    <row r="3" spans="2:8" x14ac:dyDescent="0.25">
      <c r="B3" s="15" t="s">
        <v>14</v>
      </c>
    </row>
    <row r="4" spans="2:8" x14ac:dyDescent="0.25">
      <c r="B4" s="1"/>
      <c r="C4" s="2" t="s">
        <v>6</v>
      </c>
      <c r="D4" s="9"/>
      <c r="E4" s="2" t="s">
        <v>7</v>
      </c>
      <c r="F4" s="9"/>
      <c r="G4" s="2" t="s">
        <v>8</v>
      </c>
      <c r="H4" s="2"/>
    </row>
    <row r="5" spans="2:8" x14ac:dyDescent="0.25">
      <c r="B5" s="1" t="s">
        <v>0</v>
      </c>
      <c r="C5" s="3" t="s">
        <v>10</v>
      </c>
      <c r="D5" s="10" t="s">
        <v>11</v>
      </c>
      <c r="E5" s="3" t="s">
        <v>10</v>
      </c>
      <c r="F5" s="10" t="s">
        <v>11</v>
      </c>
      <c r="G5" s="3" t="s">
        <v>10</v>
      </c>
      <c r="H5" s="3" t="s">
        <v>11</v>
      </c>
    </row>
    <row r="6" spans="2:8" x14ac:dyDescent="0.25">
      <c r="B6" s="4" t="s">
        <v>1</v>
      </c>
      <c r="C6" s="5">
        <v>37</v>
      </c>
      <c r="D6" s="11">
        <v>63</v>
      </c>
      <c r="E6" s="5">
        <v>12.9</v>
      </c>
      <c r="F6" s="11">
        <v>87.1</v>
      </c>
      <c r="G6" s="5">
        <v>37.1</v>
      </c>
      <c r="H6" s="5">
        <v>62.9</v>
      </c>
    </row>
    <row r="7" spans="2:8" x14ac:dyDescent="0.25">
      <c r="B7" s="4" t="s">
        <v>2</v>
      </c>
      <c r="C7" s="5">
        <v>33.5</v>
      </c>
      <c r="D7" s="11">
        <v>66.5</v>
      </c>
      <c r="E7" s="5">
        <v>21.5</v>
      </c>
      <c r="F7" s="11">
        <v>78.5</v>
      </c>
      <c r="G7" s="5">
        <v>44.9</v>
      </c>
      <c r="H7" s="5">
        <v>55.1</v>
      </c>
    </row>
    <row r="8" spans="2:8" x14ac:dyDescent="0.25">
      <c r="B8" s="4" t="s">
        <v>3</v>
      </c>
      <c r="C8" s="5">
        <v>39.9</v>
      </c>
      <c r="D8" s="11">
        <v>60.1</v>
      </c>
      <c r="E8" s="5">
        <v>17.2</v>
      </c>
      <c r="F8" s="11">
        <v>82.8</v>
      </c>
      <c r="G8" s="5">
        <v>58.8</v>
      </c>
      <c r="H8" s="5">
        <v>41.2</v>
      </c>
    </row>
    <row r="9" spans="2:8" x14ac:dyDescent="0.25">
      <c r="B9" s="4" t="s">
        <v>4</v>
      </c>
      <c r="C9" s="5">
        <v>50.6</v>
      </c>
      <c r="D9" s="11">
        <v>49.4</v>
      </c>
      <c r="E9" s="5">
        <v>18.7</v>
      </c>
      <c r="F9" s="11">
        <v>81.3</v>
      </c>
      <c r="G9" s="5">
        <v>73.5</v>
      </c>
      <c r="H9" s="5">
        <v>26.5</v>
      </c>
    </row>
    <row r="10" spans="2:8" x14ac:dyDescent="0.25">
      <c r="B10" s="6" t="s">
        <v>5</v>
      </c>
      <c r="C10" s="7">
        <v>54.5</v>
      </c>
      <c r="D10" s="12">
        <v>45.5</v>
      </c>
      <c r="E10" s="7">
        <v>17.2</v>
      </c>
      <c r="F10" s="12">
        <v>82.8</v>
      </c>
      <c r="G10" s="7">
        <v>80.099999999999994</v>
      </c>
      <c r="H10" s="7">
        <v>19.899999999999999</v>
      </c>
    </row>
    <row r="11" spans="2:8" x14ac:dyDescent="0.25">
      <c r="B11" s="1" t="s">
        <v>9</v>
      </c>
      <c r="C11" s="8">
        <v>43.099999999999994</v>
      </c>
      <c r="D11" s="13">
        <v>56.9</v>
      </c>
      <c r="E11" s="8">
        <v>17.599999999999998</v>
      </c>
      <c r="F11" s="13">
        <v>81.900000000000006</v>
      </c>
      <c r="G11" s="3">
        <v>60.800000000000004</v>
      </c>
      <c r="H11" s="3">
        <v>39.300000000000004</v>
      </c>
    </row>
  </sheetData>
  <mergeCells count="3">
    <mergeCell ref="C4:D4"/>
    <mergeCell ref="E4:F4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9056-48AC-43BF-BF3C-A419BD36BAB3}">
  <dimension ref="B2:H11"/>
  <sheetViews>
    <sheetView showGridLines="0" tabSelected="1" workbookViewId="0">
      <selection activeCell="B4" sqref="B4"/>
    </sheetView>
  </sheetViews>
  <sheetFormatPr defaultRowHeight="15" x14ac:dyDescent="0.25"/>
  <sheetData>
    <row r="2" spans="2:8" x14ac:dyDescent="0.25">
      <c r="B2" s="14" t="s">
        <v>12</v>
      </c>
    </row>
    <row r="3" spans="2:8" x14ac:dyDescent="0.25">
      <c r="B3" s="15" t="s">
        <v>15</v>
      </c>
    </row>
    <row r="4" spans="2:8" x14ac:dyDescent="0.25">
      <c r="B4" s="1"/>
      <c r="C4" s="2" t="s">
        <v>6</v>
      </c>
      <c r="D4" s="9"/>
      <c r="E4" s="2" t="s">
        <v>7</v>
      </c>
      <c r="F4" s="9"/>
      <c r="G4" s="2" t="s">
        <v>8</v>
      </c>
      <c r="H4" s="2"/>
    </row>
    <row r="5" spans="2:8" x14ac:dyDescent="0.25">
      <c r="B5" s="1" t="s">
        <v>0</v>
      </c>
      <c r="C5" s="3" t="s">
        <v>10</v>
      </c>
      <c r="D5" s="10" t="s">
        <v>11</v>
      </c>
      <c r="E5" s="3" t="s">
        <v>10</v>
      </c>
      <c r="F5" s="10" t="s">
        <v>11</v>
      </c>
      <c r="G5" s="3" t="s">
        <v>10</v>
      </c>
      <c r="H5" s="3" t="s">
        <v>11</v>
      </c>
    </row>
    <row r="6" spans="2:8" x14ac:dyDescent="0.25">
      <c r="B6" s="4" t="s">
        <v>1</v>
      </c>
      <c r="C6" s="5">
        <v>16.241299303944317</v>
      </c>
      <c r="D6" s="11">
        <v>20.738137082601057</v>
      </c>
      <c r="E6" s="5">
        <v>10.795454545454545</v>
      </c>
      <c r="F6" s="11">
        <v>15.75091575091575</v>
      </c>
      <c r="G6" s="5">
        <v>9.375</v>
      </c>
      <c r="H6" s="5">
        <v>24.427480916030532</v>
      </c>
    </row>
    <row r="7" spans="2:8" x14ac:dyDescent="0.25">
      <c r="B7" s="4" t="s">
        <v>2</v>
      </c>
      <c r="C7" s="5">
        <v>16.241299303944317</v>
      </c>
      <c r="D7" s="11">
        <v>24.42882249560633</v>
      </c>
      <c r="E7" s="5">
        <v>23.295454545454547</v>
      </c>
      <c r="F7" s="11">
        <v>18.437118437118436</v>
      </c>
      <c r="G7" s="5">
        <v>13.980263157894735</v>
      </c>
      <c r="H7" s="5">
        <v>26.717557251908392</v>
      </c>
    </row>
    <row r="8" spans="2:8" x14ac:dyDescent="0.25">
      <c r="B8" s="4" t="s">
        <v>3</v>
      </c>
      <c r="C8" s="5">
        <v>19.025522041763342</v>
      </c>
      <c r="D8" s="11">
        <v>21.616871704745169</v>
      </c>
      <c r="E8" s="5">
        <v>21.022727272727277</v>
      </c>
      <c r="F8" s="11">
        <v>21.489621489621491</v>
      </c>
      <c r="G8" s="5">
        <v>21.052631578947366</v>
      </c>
      <c r="H8" s="5">
        <v>22.900763358778622</v>
      </c>
    </row>
    <row r="9" spans="2:8" x14ac:dyDescent="0.25">
      <c r="B9" s="4" t="s">
        <v>4</v>
      </c>
      <c r="C9" s="5">
        <v>22.273781902552205</v>
      </c>
      <c r="D9" s="11">
        <v>16.520210896309315</v>
      </c>
      <c r="E9" s="5">
        <v>23.295454545454547</v>
      </c>
      <c r="F9" s="11">
        <v>21.855921855921853</v>
      </c>
      <c r="G9" s="5">
        <v>25.822368421052627</v>
      </c>
      <c r="H9" s="5">
        <v>14.503816793893129</v>
      </c>
    </row>
    <row r="10" spans="2:8" x14ac:dyDescent="0.25">
      <c r="B10" s="6" t="s">
        <v>5</v>
      </c>
      <c r="C10" s="7">
        <v>26.218097447795831</v>
      </c>
      <c r="D10" s="12">
        <v>16.695957820738137</v>
      </c>
      <c r="E10" s="7">
        <v>21.59090909090909</v>
      </c>
      <c r="F10" s="12">
        <v>22.466422466422465</v>
      </c>
      <c r="G10" s="7">
        <v>29.769736842105267</v>
      </c>
      <c r="H10" s="7">
        <v>11.450381679389311</v>
      </c>
    </row>
    <row r="11" spans="2:8" x14ac:dyDescent="0.25">
      <c r="B11" s="1" t="s">
        <v>9</v>
      </c>
      <c r="C11" s="8">
        <f>SUM(C6:C10)</f>
        <v>100</v>
      </c>
      <c r="D11" s="13">
        <f t="shared" ref="D11:H11" si="0">SUM(D6:D10)</f>
        <v>100</v>
      </c>
      <c r="E11" s="8">
        <f t="shared" si="0"/>
        <v>100.00000000000001</v>
      </c>
      <c r="F11" s="13">
        <f t="shared" si="0"/>
        <v>100</v>
      </c>
      <c r="G11" s="3">
        <f t="shared" si="0"/>
        <v>100</v>
      </c>
      <c r="H11" s="3">
        <f t="shared" si="0"/>
        <v>99.999999999999986</v>
      </c>
    </row>
  </sheetData>
  <mergeCells count="3">
    <mergeCell ref="C4:D4"/>
    <mergeCell ref="E4:F4"/>
    <mergeCell ref="G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864FA26A7994DADC2D2C8E49607F1" ma:contentTypeVersion="17" ma:contentTypeDescription="Create a new document." ma:contentTypeScope="" ma:versionID="d1da8e207b9531e5c19e123cd6252dfd">
  <xsd:schema xmlns:xsd="http://www.w3.org/2001/XMLSchema" xmlns:xs="http://www.w3.org/2001/XMLSchema" xmlns:p="http://schemas.microsoft.com/office/2006/metadata/properties" xmlns:ns2="6b5c6959-2fde-4778-a327-d50eaaebd434" xmlns:ns3="de237af6-5ee7-4b57-be31-5cf9b6f48079" targetNamespace="http://schemas.microsoft.com/office/2006/metadata/properties" ma:root="true" ma:fieldsID="b5809f52823b61ade276e6ff8a904ff4" ns2:_="" ns3:_="">
    <xsd:import namespace="6b5c6959-2fde-4778-a327-d50eaaebd434"/>
    <xsd:import namespace="de237af6-5ee7-4b57-be31-5cf9b6f480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c6959-2fde-4778-a327-d50eaaebd4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7af6-5ee7-4b57-be31-5cf9b6f480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ec50c0b-9c65-48e4-8b95-48ff6d2cc41a}" ma:internalName="TaxCatchAll" ma:showField="CatchAllData" ma:web="de237af6-5ee7-4b57-be31-5cf9b6f480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37af6-5ee7-4b57-be31-5cf9b6f48079" xsi:nil="true"/>
    <lcf76f155ced4ddcb4097134ff3c332f xmlns="6b5c6959-2fde-4778-a327-d50eaaebd4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BC2D9A-5F47-4089-B49E-AF666F1FE283}"/>
</file>

<file path=customXml/itemProps2.xml><?xml version="1.0" encoding="utf-8"?>
<ds:datastoreItem xmlns:ds="http://schemas.openxmlformats.org/officeDocument/2006/customXml" ds:itemID="{5C2B200B-C56E-40C3-8D23-2FF79F6D851F}"/>
</file>

<file path=customXml/itemProps3.xml><?xml version="1.0" encoding="utf-8"?>
<ds:datastoreItem xmlns:ds="http://schemas.openxmlformats.org/officeDocument/2006/customXml" ds:itemID="{2C7A7FE4-9C17-4AC3-9281-3C4094184F1D}"/>
</file>

<file path=docMetadata/LabelInfo.xml><?xml version="1.0" encoding="utf-8"?>
<clbl:labelList xmlns:clbl="http://schemas.microsoft.com/office/2020/mipLabelMetadata">
  <clbl:label id="{9dfb1a05-5f1d-449a-8960-62abcb479e7d}" enabled="0" method="" siteId="{9dfb1a05-5f1d-449a-8960-62abcb479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Sobre el total</vt:lpstr>
      <vt:lpstr>Condicional al riesgo</vt:lpstr>
      <vt:lpstr>Condicional al estado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Balus Nicolas Alejandro</dc:creator>
  <cp:lastModifiedBy>Garcia Balus Nicolas Alejandro</cp:lastModifiedBy>
  <dcterms:created xsi:type="dcterms:W3CDTF">2026-10-13T15:15:48Z</dcterms:created>
  <dcterms:modified xsi:type="dcterms:W3CDTF">2026-10-13T15:37:30Z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0x010100A89864FA26A7994DADC2D2C8E49607F1</vt:lpwstr>
  </property>
</Properties>
</file>